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<sst xmlns="http://schemas.openxmlformats.org/spreadsheetml/2006/main" count="14" uniqueCount="14">
  <si>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Case</t>
  </si>
  <si>
    <t>CT_Index</t>
  </si>
  <si>
    <t>CBCT_Index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</si>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</sst>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G1" sqref="G$1:G$1048576"/>
    </sheetView>
  </sheetViews>
  <sheetFormatPr defaultColWidth="9" defaultRowHeight="14.4" outlineLevelCol="5"/>
  <cols>
    <col min="4" max="6" width="12.8888888888889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0</v>
      </c>
      <c r="D2">
        <v>0.912231266498566</v>
      </c>
      <c r="E2">
        <v>1.44554032722285</v>
      </c>
      <c r="F2">
        <v>61</v>
      </c>
    </row>
    <row r="3" spans="1:6">
      <c r="A3">
        <v>1</v>
      </c>
      <c r="B3">
        <v>0</v>
      </c>
      <c r="C3">
        <v>1</v>
      </c>
      <c r="D3">
        <v>0.908632159233093</v>
      </c>
      <c r="E3">
        <v>1.52264055324099</v>
      </c>
      <c r="F3">
        <v>170</v>
      </c>
    </row>
    <row r="4" spans="1:6">
      <c r="A4">
        <v>2</v>
      </c>
      <c r="B4">
        <v>1</v>
      </c>
      <c r="C4">
        <v>2</v>
      </c>
      <c r="D4">
        <v>0.875452637672424</v>
      </c>
      <c r="E4">
        <v>2.67001771008558</v>
      </c>
      <c r="F4">
        <v>658</v>
      </c>
    </row>
    <row r="5" spans="1:6">
      <c r="A5">
        <v>3</v>
      </c>
      <c r="B5">
        <v>1</v>
      </c>
      <c r="C5">
        <v>3</v>
      </c>
      <c r="D5">
        <v>0.922166883945465</v>
      </c>
      <c r="E5">
        <v>1.25995798145843</v>
      </c>
      <c r="F5">
        <v>117</v>
      </c>
    </row>
    <row r="6" spans="1:6">
      <c r="A6">
        <v>4</v>
      </c>
      <c r="B6">
        <v>2</v>
      </c>
      <c r="C6">
        <v>4</v>
      </c>
      <c r="D6">
        <v>0.874406814575195</v>
      </c>
      <c r="E6">
        <v>3.35833619688863</v>
      </c>
      <c r="F6">
        <v>152</v>
      </c>
    </row>
    <row r="7" spans="1:6">
      <c r="A7">
        <v>5</v>
      </c>
      <c r="B7">
        <v>2</v>
      </c>
      <c r="C7">
        <v>5</v>
      </c>
      <c r="D7">
        <v>0.873550713062286</v>
      </c>
      <c r="E7">
        <v>3.43716108205589</v>
      </c>
      <c r="F7">
        <v>25</v>
      </c>
    </row>
    <row r="8" spans="1:6">
      <c r="A8">
        <v>6</v>
      </c>
      <c r="B8">
        <v>3</v>
      </c>
      <c r="C8">
        <v>6</v>
      </c>
      <c r="D8">
        <v>0.884486615657806</v>
      </c>
      <c r="E8">
        <v>2.40432737185535</v>
      </c>
      <c r="F8">
        <v>30</v>
      </c>
    </row>
    <row r="9" spans="1:6">
      <c r="A9">
        <v>7</v>
      </c>
      <c r="B9">
        <v>3</v>
      </c>
      <c r="C9">
        <v>7</v>
      </c>
      <c r="D9">
        <v>0.886428415775299</v>
      </c>
      <c r="E9">
        <v>2.37325305392626</v>
      </c>
      <c r="F9">
        <v>52</v>
      </c>
    </row>
    <row r="10" spans="1:6">
      <c r="A10">
        <v>0</v>
      </c>
      <c r="B10">
        <v>0</v>
      </c>
      <c r="C10">
        <v>0</v>
      </c>
      <c r="D10">
        <v>0.946608245372772</v>
      </c>
      <c r="E10">
        <v>0.594424711760785</v>
      </c>
      <c r="F10">
        <v>139</v>
      </c>
    </row>
    <row r="11" spans="1:6">
      <c r="A11">
        <v>1</v>
      </c>
      <c r="B11">
        <v>0</v>
      </c>
      <c r="C11">
        <v>1</v>
      </c>
      <c r="D11">
        <v>0.944673776626587</v>
      </c>
      <c r="E11">
        <v>0.610825278505724</v>
      </c>
      <c r="F11">
        <v>154</v>
      </c>
    </row>
    <row r="12" spans="1:6">
      <c r="A12">
        <v>2</v>
      </c>
      <c r="B12">
        <v>1</v>
      </c>
      <c r="C12">
        <v>2</v>
      </c>
      <c r="D12">
        <v>0.90764707326889</v>
      </c>
      <c r="E12">
        <v>1.42021404089774</v>
      </c>
      <c r="F12">
        <v>90</v>
      </c>
    </row>
    <row r="13" spans="1:6">
      <c r="A13">
        <v>3</v>
      </c>
      <c r="B13">
        <v>1</v>
      </c>
      <c r="C13">
        <v>3</v>
      </c>
      <c r="D13">
        <v>0.894645810127258</v>
      </c>
      <c r="E13">
        <v>1.71400845251031</v>
      </c>
      <c r="F13">
        <v>68</v>
      </c>
    </row>
    <row r="14" spans="1:6">
      <c r="A14">
        <v>4</v>
      </c>
      <c r="B14">
        <v>2</v>
      </c>
      <c r="C14">
        <v>4</v>
      </c>
      <c r="D14">
        <v>0.876511931419373</v>
      </c>
      <c r="E14">
        <v>2.13549611446191</v>
      </c>
      <c r="F14">
        <v>71</v>
      </c>
    </row>
    <row r="15" spans="1:6">
      <c r="A15">
        <v>5</v>
      </c>
      <c r="B15">
        <v>2</v>
      </c>
      <c r="C15">
        <v>5</v>
      </c>
      <c r="D15">
        <v>0.897864162921906</v>
      </c>
      <c r="E15">
        <v>1.74611764502631</v>
      </c>
      <c r="F15">
        <v>96</v>
      </c>
    </row>
    <row r="16" spans="1:6">
      <c r="A16">
        <v>0</v>
      </c>
      <c r="B16">
        <v>0</v>
      </c>
      <c r="C16">
        <v>0</v>
      </c>
      <c r="D16">
        <v>0.890921354293823</v>
      </c>
      <c r="E16">
        <v>1.66107071373301</v>
      </c>
      <c r="F16">
        <v>300</v>
      </c>
    </row>
    <row r="17" spans="1:6">
      <c r="A17">
        <v>1</v>
      </c>
      <c r="B17">
        <v>0</v>
      </c>
      <c r="C17">
        <v>1</v>
      </c>
      <c r="D17">
        <v>0.900122165679932</v>
      </c>
      <c r="E17">
        <v>1.35439784753352</v>
      </c>
      <c r="F17">
        <v>208</v>
      </c>
    </row>
    <row r="18" spans="1:6">
      <c r="A18">
        <v>2</v>
      </c>
      <c r="B18">
        <v>1</v>
      </c>
      <c r="C18">
        <v>2</v>
      </c>
      <c r="D18">
        <v>0.912206590175629</v>
      </c>
      <c r="E18">
        <v>1.31629495187921</v>
      </c>
      <c r="F18">
        <v>275</v>
      </c>
    </row>
    <row r="19" spans="1:6">
      <c r="A19">
        <v>3</v>
      </c>
      <c r="B19">
        <v>1</v>
      </c>
      <c r="C19">
        <v>3</v>
      </c>
      <c r="D19">
        <v>0.89899092912674</v>
      </c>
      <c r="E19">
        <v>1.78375674948515</v>
      </c>
      <c r="F19">
        <v>13</v>
      </c>
    </row>
    <row r="20" spans="1:6">
      <c r="A20">
        <v>4</v>
      </c>
      <c r="B20">
        <v>2</v>
      </c>
      <c r="C20">
        <v>4</v>
      </c>
      <c r="D20">
        <v>0.940853238105774</v>
      </c>
      <c r="E20">
        <v>0.89740405029742</v>
      </c>
      <c r="F20">
        <v>33</v>
      </c>
    </row>
    <row r="21" spans="1:6">
      <c r="A21">
        <v>5</v>
      </c>
      <c r="B21">
        <v>2</v>
      </c>
      <c r="C21">
        <v>5</v>
      </c>
      <c r="D21">
        <v>0.941618919372559</v>
      </c>
      <c r="E21">
        <v>0.881894910282292</v>
      </c>
      <c r="F21">
        <v>111</v>
      </c>
    </row>
    <row r="22" spans="1:6">
      <c r="A22">
        <v>0</v>
      </c>
      <c r="B22">
        <v>0</v>
      </c>
      <c r="C22">
        <v>0</v>
      </c>
      <c r="D22">
        <v>0.826551556587219</v>
      </c>
      <c r="E22">
        <v>3.61960917125522</v>
      </c>
      <c r="F22">
        <v>358</v>
      </c>
    </row>
    <row r="23" spans="1:6">
      <c r="A23">
        <v>1</v>
      </c>
      <c r="B23">
        <v>0</v>
      </c>
      <c r="C23">
        <v>1</v>
      </c>
      <c r="D23">
        <v>0.837099552154541</v>
      </c>
      <c r="E23">
        <v>3.49937639751496</v>
      </c>
      <c r="F23">
        <v>168</v>
      </c>
    </row>
    <row r="24" spans="1:6">
      <c r="A24">
        <v>2</v>
      </c>
      <c r="B24">
        <v>1</v>
      </c>
      <c r="C24">
        <v>2</v>
      </c>
      <c r="D24">
        <v>0.85075581073761</v>
      </c>
      <c r="E24">
        <v>3.78539325495503</v>
      </c>
      <c r="F24">
        <v>92</v>
      </c>
    </row>
    <row r="25" spans="1:6">
      <c r="A25">
        <v>3</v>
      </c>
      <c r="B25">
        <v>1</v>
      </c>
      <c r="C25">
        <v>3</v>
      </c>
      <c r="D25">
        <v>0.852733314037323</v>
      </c>
      <c r="E25">
        <v>3.67417067450567</v>
      </c>
      <c r="F25">
        <v>90</v>
      </c>
    </row>
    <row r="26" spans="1:6">
      <c r="A26">
        <v>4</v>
      </c>
      <c r="B26">
        <v>2</v>
      </c>
      <c r="C26">
        <v>4</v>
      </c>
      <c r="D26">
        <v>0.933107793331146</v>
      </c>
      <c r="E26">
        <v>1.12859637026222</v>
      </c>
      <c r="F26">
        <v>315</v>
      </c>
    </row>
    <row r="27" spans="1:6">
      <c r="A27">
        <v>5</v>
      </c>
      <c r="B27">
        <v>2</v>
      </c>
      <c r="C27">
        <v>5</v>
      </c>
      <c r="D27">
        <v>0.636006653308868</v>
      </c>
      <c r="E27">
        <v>8.78809221279595</v>
      </c>
      <c r="F27">
        <v>1631</v>
      </c>
    </row>
    <row r="28" spans="1:6">
      <c r="A28">
        <v>6</v>
      </c>
      <c r="B28">
        <v>3</v>
      </c>
      <c r="C28">
        <v>6</v>
      </c>
      <c r="D28">
        <v>0.914895355701447</v>
      </c>
      <c r="E28">
        <v>1.53779202656463</v>
      </c>
      <c r="F28">
        <v>355</v>
      </c>
    </row>
    <row r="29" spans="1:6">
      <c r="A29">
        <v>7</v>
      </c>
      <c r="B29">
        <v>3</v>
      </c>
      <c r="C29">
        <v>7</v>
      </c>
      <c r="D29">
        <v>0.894412875175476</v>
      </c>
      <c r="E29">
        <v>1.95128754584493</v>
      </c>
      <c r="F29">
        <v>227</v>
      </c>
    </row>
    <row r="30" spans="1:6">
      <c r="D30">
        <f>AVERAGE(D2:D29)</f>
        <v>0.886985093355179</v>
      </c>
      <c r="E30">
        <f>AVERAGE(E2:E29)</f>
        <v>2.23469490702879</v>
      </c>
      <c r="F30">
        <f>AVERAGE(F2:F29)</f>
        <v>216.392857142857</v>
      </c>
    </row>
    <row r="31" spans="1:6">
      <c r="D31">
        <f>STDEV(D2:D29)</f>
        <v>0.0583259206332261</v>
      </c>
      <c r="E31">
        <f>STDEV(E2:E29)</f>
        <v>1.61056885808876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J$1048576"/>
    </sheetView>
  </sheetViews>
  <sheetFormatPr defaultColWidth="9" defaultRowHeight="14.4" outlineLevelRow="1" outlineLevelCol="7"/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0.892169438302517</v>
      </c>
      <c r="B2">
        <v>0.0192982202514392</v>
      </c>
      <c r="C2">
        <v>2.30890428459175</v>
      </c>
      <c r="D2">
        <v>0.843616051828521</v>
      </c>
      <c r="E2">
        <v>158.125</v>
      </c>
      <c r="F2">
        <v>209.277285300764</v>
      </c>
      <c r="G2">
        <v>208069.5048</v>
      </c>
      <c r="H2">
        <v>0.451271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2026-09-02T07:55:00Z</dcterms:created>
  <dcterms:modified xsi:type="dcterms:W3CDTF">2026-09-04T07:37:45Z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C4BC0F72C9CD40A0BA36C5F4F2944A56_12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
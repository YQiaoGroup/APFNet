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<sst xmlns="http://schemas.openxmlformats.org/spreadsheetml/2006/main" count="14" uniqueCount="14">
  <si>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Case</t>
  </si>
  <si>
    <t>CT_Index</t>
  </si>
  <si>
    <t>CBCT_Index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</si>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</sst>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G1" sqref="G$1:G$1048576"/>
    </sheetView>
  </sheetViews>
  <sheetFormatPr defaultColWidth="9" defaultRowHeight="14.4" outlineLevelCol="5"/>
  <cols>
    <col min="4" max="5" width="12.8888888888889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0</v>
      </c>
      <c r="D2">
        <v>0.813880503177643</v>
      </c>
      <c r="E2">
        <v>2.91579771959921</v>
      </c>
      <c r="F2">
        <v>597</v>
      </c>
    </row>
    <row r="3" spans="1:6">
      <c r="A3">
        <v>1</v>
      </c>
      <c r="B3">
        <v>0</v>
      </c>
      <c r="C3">
        <v>1</v>
      </c>
      <c r="D3">
        <v>0.870482206344604</v>
      </c>
      <c r="E3">
        <v>1.99829321000471</v>
      </c>
      <c r="F3">
        <v>659</v>
      </c>
    </row>
    <row r="4" spans="1:6">
      <c r="A4">
        <v>2</v>
      </c>
      <c r="B4">
        <v>1</v>
      </c>
      <c r="C4">
        <v>2</v>
      </c>
      <c r="D4">
        <v>0.907512068748474</v>
      </c>
      <c r="E4">
        <v>1.89964913360472</v>
      </c>
      <c r="F4">
        <v>41405</v>
      </c>
    </row>
    <row r="5" spans="1:6">
      <c r="A5">
        <v>3</v>
      </c>
      <c r="B5">
        <v>1</v>
      </c>
      <c r="C5">
        <v>3</v>
      </c>
      <c r="D5">
        <v>0.895054519176483</v>
      </c>
      <c r="E5">
        <v>2.3109956818656</v>
      </c>
      <c r="F5">
        <v>3556</v>
      </c>
    </row>
    <row r="6" spans="1:6">
      <c r="A6">
        <v>4</v>
      </c>
      <c r="B6">
        <v>2</v>
      </c>
      <c r="C6">
        <v>4</v>
      </c>
      <c r="D6">
        <v>0.899395525455475</v>
      </c>
      <c r="E6">
        <v>2.55917628629015</v>
      </c>
      <c r="F6">
        <v>177</v>
      </c>
    </row>
    <row r="7" spans="1:6">
      <c r="A7">
        <v>5</v>
      </c>
      <c r="B7">
        <v>2</v>
      </c>
      <c r="C7">
        <v>5</v>
      </c>
      <c r="D7">
        <v>0.898643434047699</v>
      </c>
      <c r="E7">
        <v>2.57715834780294</v>
      </c>
      <c r="F7">
        <v>83</v>
      </c>
    </row>
    <row r="8" spans="1:6">
      <c r="A8">
        <v>6</v>
      </c>
      <c r="B8">
        <v>3</v>
      </c>
      <c r="C8">
        <v>6</v>
      </c>
      <c r="D8">
        <v>0.898680746555328</v>
      </c>
      <c r="E8">
        <v>1.97680958602934</v>
      </c>
      <c r="F8">
        <v>1389</v>
      </c>
    </row>
    <row r="9" spans="1:6">
      <c r="A9">
        <v>7</v>
      </c>
      <c r="B9">
        <v>3</v>
      </c>
      <c r="C9">
        <v>7</v>
      </c>
      <c r="D9">
        <v>0.895327031612396</v>
      </c>
      <c r="E9">
        <v>2.01152092207149</v>
      </c>
      <c r="F9">
        <v>1642</v>
      </c>
    </row>
    <row r="10" spans="1:6">
      <c r="A10">
        <v>0</v>
      </c>
      <c r="B10">
        <v>0</v>
      </c>
      <c r="C10">
        <v>0</v>
      </c>
      <c r="D10">
        <v>0.881731152534485</v>
      </c>
      <c r="E10">
        <v>1.59656395492049</v>
      </c>
      <c r="F10">
        <v>142</v>
      </c>
    </row>
    <row r="11" spans="1:6">
      <c r="A11">
        <v>1</v>
      </c>
      <c r="B11">
        <v>0</v>
      </c>
      <c r="C11">
        <v>1</v>
      </c>
      <c r="D11">
        <v>0.874424278736115</v>
      </c>
      <c r="E11">
        <v>1.76880420764814</v>
      </c>
      <c r="F11">
        <v>172</v>
      </c>
    </row>
    <row r="12" spans="1:6">
      <c r="A12">
        <v>2</v>
      </c>
      <c r="B12">
        <v>1</v>
      </c>
      <c r="C12">
        <v>2</v>
      </c>
      <c r="D12">
        <v>0.90850967168808</v>
      </c>
      <c r="E12">
        <v>1.39800863531858</v>
      </c>
      <c r="F12">
        <v>20</v>
      </c>
    </row>
    <row r="13" spans="1:6">
      <c r="A13">
        <v>3</v>
      </c>
      <c r="B13">
        <v>1</v>
      </c>
      <c r="C13">
        <v>3</v>
      </c>
      <c r="D13">
        <v>0.87082451581955</v>
      </c>
      <c r="E13">
        <v>2.35584293925682</v>
      </c>
      <c r="F13">
        <v>26</v>
      </c>
    </row>
    <row r="14" spans="1:6">
      <c r="A14">
        <v>4</v>
      </c>
      <c r="B14">
        <v>2</v>
      </c>
      <c r="C14">
        <v>4</v>
      </c>
      <c r="D14">
        <v>0.798631131649017</v>
      </c>
      <c r="E14">
        <v>3.68103688856063</v>
      </c>
      <c r="F14">
        <v>108</v>
      </c>
    </row>
    <row r="15" spans="1:6">
      <c r="A15">
        <v>5</v>
      </c>
      <c r="B15">
        <v>2</v>
      </c>
      <c r="C15">
        <v>5</v>
      </c>
      <c r="D15">
        <v>0.852985620498657</v>
      </c>
      <c r="E15">
        <v>2.87898650030726</v>
      </c>
      <c r="F15">
        <v>161</v>
      </c>
    </row>
    <row r="16" spans="1:6">
      <c r="A16">
        <v>0</v>
      </c>
      <c r="B16">
        <v>0</v>
      </c>
      <c r="C16">
        <v>0</v>
      </c>
      <c r="D16">
        <v>0.898039877414703</v>
      </c>
      <c r="E16">
        <v>1.53957420392874</v>
      </c>
      <c r="F16">
        <v>93</v>
      </c>
    </row>
    <row r="17" spans="1:6">
      <c r="A17">
        <v>1</v>
      </c>
      <c r="B17">
        <v>0</v>
      </c>
      <c r="C17">
        <v>1</v>
      </c>
      <c r="D17">
        <v>0.898595809936523</v>
      </c>
      <c r="E17">
        <v>1.38386455547543</v>
      </c>
      <c r="F17">
        <v>84</v>
      </c>
    </row>
    <row r="18" spans="1:6">
      <c r="A18">
        <v>2</v>
      </c>
      <c r="B18">
        <v>1</v>
      </c>
      <c r="C18">
        <v>2</v>
      </c>
      <c r="D18">
        <v>0.916704893112183</v>
      </c>
      <c r="E18">
        <v>1.27830866752113</v>
      </c>
      <c r="F18">
        <v>300</v>
      </c>
    </row>
    <row r="19" spans="1:6">
      <c r="A19">
        <v>3</v>
      </c>
      <c r="B19">
        <v>1</v>
      </c>
      <c r="C19">
        <v>3</v>
      </c>
      <c r="D19">
        <v>0.901461482048035</v>
      </c>
      <c r="E19">
        <v>1.75371442270287</v>
      </c>
      <c r="F19">
        <v>114</v>
      </c>
    </row>
    <row r="20" spans="1:6">
      <c r="A20">
        <v>4</v>
      </c>
      <c r="B20">
        <v>2</v>
      </c>
      <c r="C20">
        <v>4</v>
      </c>
      <c r="D20">
        <v>0.936520159244537</v>
      </c>
      <c r="E20">
        <v>0.959557488867047</v>
      </c>
      <c r="F20">
        <v>2</v>
      </c>
    </row>
    <row r="21" spans="1:6">
      <c r="A21">
        <v>5</v>
      </c>
      <c r="B21">
        <v>2</v>
      </c>
      <c r="C21">
        <v>5</v>
      </c>
      <c r="D21">
        <v>0.94073474407196</v>
      </c>
      <c r="E21">
        <v>0.878278966367501</v>
      </c>
      <c r="F21">
        <v>10</v>
      </c>
    </row>
    <row r="22" spans="1:6">
      <c r="A22">
        <v>0</v>
      </c>
      <c r="B22">
        <v>0</v>
      </c>
      <c r="C22">
        <v>0</v>
      </c>
      <c r="D22">
        <v>0.82817155122757</v>
      </c>
      <c r="E22">
        <v>3.52599662824655</v>
      </c>
      <c r="F22">
        <v>150</v>
      </c>
    </row>
    <row r="23" spans="1:6">
      <c r="A23">
        <v>1</v>
      </c>
      <c r="B23">
        <v>0</v>
      </c>
      <c r="C23">
        <v>1</v>
      </c>
      <c r="D23">
        <v>0.840675711631775</v>
      </c>
      <c r="E23">
        <v>3.28696780400718</v>
      </c>
      <c r="F23">
        <v>44</v>
      </c>
    </row>
    <row r="24" spans="1:6">
      <c r="A24">
        <v>2</v>
      </c>
      <c r="B24">
        <v>1</v>
      </c>
      <c r="C24">
        <v>2</v>
      </c>
      <c r="D24">
        <v>0.86719822883606</v>
      </c>
      <c r="E24">
        <v>2.95048366467099</v>
      </c>
      <c r="F24">
        <v>1</v>
      </c>
    </row>
    <row r="25" spans="1:6">
      <c r="A25">
        <v>3</v>
      </c>
      <c r="B25">
        <v>1</v>
      </c>
      <c r="C25">
        <v>3</v>
      </c>
      <c r="D25">
        <v>0.860932886600494</v>
      </c>
      <c r="E25">
        <v>3.15057486036269</v>
      </c>
      <c r="F25">
        <v>2</v>
      </c>
    </row>
    <row r="26" spans="1:6">
      <c r="A26">
        <v>4</v>
      </c>
      <c r="B26">
        <v>2</v>
      </c>
      <c r="C26">
        <v>4</v>
      </c>
      <c r="D26">
        <v>0.917495369911194</v>
      </c>
      <c r="E26">
        <v>1.57455123745642</v>
      </c>
      <c r="F26">
        <v>24</v>
      </c>
    </row>
    <row r="27" spans="1:6">
      <c r="A27">
        <v>5</v>
      </c>
      <c r="B27">
        <v>2</v>
      </c>
      <c r="C27">
        <v>5</v>
      </c>
      <c r="D27">
        <v>0.552140176296234</v>
      </c>
      <c r="E27">
        <v>10.3320719648119</v>
      </c>
      <c r="F27">
        <v>6</v>
      </c>
    </row>
    <row r="28" spans="1:6">
      <c r="A28">
        <v>6</v>
      </c>
      <c r="B28">
        <v>3</v>
      </c>
      <c r="C28">
        <v>6</v>
      </c>
      <c r="D28">
        <v>0.938524603843689</v>
      </c>
      <c r="E28">
        <v>1.03444822984413</v>
      </c>
      <c r="F28">
        <v>339</v>
      </c>
    </row>
    <row r="29" spans="1:6">
      <c r="A29">
        <v>7</v>
      </c>
      <c r="B29">
        <v>3</v>
      </c>
      <c r="C29">
        <v>7</v>
      </c>
      <c r="D29">
        <v>0.916685461997986</v>
      </c>
      <c r="E29">
        <v>1.59341700096059</v>
      </c>
      <c r="F29">
        <v>11</v>
      </c>
    </row>
    <row r="30" spans="1:6">
      <c r="D30">
        <f>AVERAGE(D2:D29)</f>
        <v>0.874284405793462</v>
      </c>
      <c r="E30">
        <f>AVERAGE(E2:E29)</f>
        <v>2.39894477530369</v>
      </c>
      <c r="F30">
        <f>AVERAGE(F2:F29)</f>
        <v>1832.75</v>
      </c>
    </row>
    <row r="31" spans="1:6">
      <c r="D31">
        <f>STDEV(D2:D29)</f>
        <v>0.0724982484269823</v>
      </c>
      <c r="E31">
        <f>STDEV(E2:E29)</f>
        <v>1.74129993278544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$1:J$1048576"/>
    </sheetView>
  </sheetViews>
  <sheetFormatPr defaultColWidth="9" defaultRowHeight="14.4" outlineLevelRow="1" outlineLevelCol="7"/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0.884872004389763</v>
      </c>
      <c r="B2">
        <v>0.0306213966908061</v>
      </c>
      <c r="C2">
        <v>2.28117511090852</v>
      </c>
      <c r="D2">
        <v>0.370224226933309</v>
      </c>
      <c r="E2">
        <v>6188.5</v>
      </c>
      <c r="F2">
        <v>14273.318244693</v>
      </c>
      <c r="G2">
        <v>2888812.9536</v>
      </c>
      <c r="H2">
        <v>8.922444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2026-09-01T08:42:00Z</dcterms:created>
  <dcterms:modified xsi:type="dcterms:W3CDTF">2026-09-04T07:38:55Z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8790C66A2DB6491695AC1EF7B3AB9D14_12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
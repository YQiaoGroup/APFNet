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F:\Postgraduate\phd_project\PDFNet\JBHI_LaTex_Template\results\excel\CBCT\"/>
    </mc:Choice>
  </mc:AlternateContent>
  <bookViews>
    <workbookView windowWidth="30720" windowHeight="13500"/>
  </bookViews>
  <sheets>
    <sheet name="Sheet1" sheetId="1" r:id="rId1"/>
    <sheet name="Sheet2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<sst xmlns="http://schemas.openxmlformats.org/spreadsheetml/2006/main" count="14" uniqueCount="14">
  <si>
    <t>Case</t>
  </si>
  <si>
    <t>CT_Index</t>
  </si>
  <si>
    <t>CBCT_Index</t>
  </si>
  <si>
    <t>Dice</t>
  </si>
  <si>
    <t>ASSD</t>
  </si>
  <si>
    <t>JD</t>
  </si>
  <si>
    <t>Mean Dice</t>
  </si>
  <si>
    <t>Std Dice</t>
  </si>
  <si>
    <t>Mean ASSD</t>
  </si>
  <si>
    <t>Std ASSD</t>
  </si>
  <si>
    <t>Mean JD</t>
  </si>
  <si>
    <t>Std JD</t>
  </si>
  <si>
    <t>FLOPs (M)</t>
  </si>
  <si>
    <t>Parameters (M)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</si>
</sst>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1">
    <font>
      <sz val="11"/>
      <color theme="1"/>
      <name val="宋体"/>
      <charset val="134"/>
      <scheme val="minor"/>
    </font>
    <font>
      <b/>
      <sz val="1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0" fillId="2" borderId="2" applyNumberFormat="0" applyFont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3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9" fillId="0" borderId="4" applyNumberFormat="0" applyFill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3" borderId="5" applyNumberFormat="0" applyAlignment="0" applyProtection="0">
      <alignment vertical="center"/>
    </xf>
    <xf numFmtId="0" fontId="11" fillId="4" borderId="6" applyNumberFormat="0" applyAlignment="0" applyProtection="0">
      <alignment vertical="center"/>
    </xf>
    <xf numFmtId="0" fontId="12" fillId="4" borderId="5" applyNumberFormat="0" applyAlignment="0" applyProtection="0">
      <alignment vertical="center"/>
    </xf>
    <xf numFmtId="0" fontId="13" fillId="5" borderId="7" applyNumberFormat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0" borderId="9" applyNumberFormat="0" applyFill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0" fillId="11" borderId="0" applyNumberFormat="0" applyBorder="0" applyAlignment="0" applyProtection="0">
      <alignment vertical="center"/>
    </xf>
    <xf numFmtId="0" fontId="19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19" fillId="16" borderId="0" applyNumberFormat="0" applyBorder="0" applyAlignment="0" applyProtection="0">
      <alignment vertical="center"/>
    </xf>
    <xf numFmtId="0" fontId="19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0" fillId="19" borderId="0" applyNumberFormat="0" applyBorder="0" applyAlignment="0" applyProtection="0">
      <alignment vertical="center"/>
    </xf>
    <xf numFmtId="0" fontId="19" fillId="20" borderId="0" applyNumberFormat="0" applyBorder="0" applyAlignment="0" applyProtection="0">
      <alignment vertical="center"/>
    </xf>
    <xf numFmtId="0" fontId="19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0" fillId="23" borderId="0" applyNumberFormat="0" applyBorder="0" applyAlignment="0" applyProtection="0">
      <alignment vertical="center"/>
    </xf>
    <xf numFmtId="0" fontId="19" fillId="24" borderId="0" applyNumberFormat="0" applyBorder="0" applyAlignment="0" applyProtection="0">
      <alignment vertical="center"/>
    </xf>
    <xf numFmtId="0" fontId="19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0" fillId="27" borderId="0" applyNumberFormat="0" applyBorder="0" applyAlignment="0" applyProtection="0">
      <alignment vertical="center"/>
    </xf>
    <xf numFmtId="0" fontId="19" fillId="28" borderId="0" applyNumberFormat="0" applyBorder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31" borderId="0" applyNumberFormat="0" applyBorder="0" applyAlignment="0" applyProtection="0">
      <alignment vertical="center"/>
    </xf>
    <xf numFmtId="0" fontId="19" fillId="32" borderId="0" applyNumberFormat="0" applyBorder="0" applyAlignment="0" applyProtection="0">
      <alignment vertical="center"/>
    </xf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F31"/>
  <sheetViews>
    <sheetView tabSelected="1" workbookViewId="0">
      <selection activeCell="H18" sqref="H18"/>
    </sheetView>
  </sheetViews>
  <sheetFormatPr defaultColWidth="9" defaultRowHeight="14.4" outlineLevelCol="5"/>
  <cols>
    <col min="4" max="6" width="12.8888888888889"/>
  </cols>
  <sheetData>
    <row r="1" spans="1:6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</row>
    <row r="2" spans="1:6">
      <c r="A2">
        <v>0</v>
      </c>
      <c r="B2">
        <v>0</v>
      </c>
      <c r="C2">
        <v>0</v>
      </c>
      <c r="D2">
        <v>0.861148059368134</v>
      </c>
      <c r="E2">
        <v>2.17405137513744</v>
      </c>
      <c r="F2">
        <v>37011</v>
      </c>
    </row>
    <row r="3" spans="1:6">
      <c r="A3">
        <v>1</v>
      </c>
      <c r="B3">
        <v>0</v>
      </c>
      <c r="C3">
        <v>1</v>
      </c>
      <c r="D3">
        <v>0.89064347743988</v>
      </c>
      <c r="E3">
        <v>1.82961226927045</v>
      </c>
      <c r="F3">
        <v>30289</v>
      </c>
    </row>
    <row r="4" spans="1:6">
      <c r="A4">
        <v>2</v>
      </c>
      <c r="B4">
        <v>1</v>
      </c>
      <c r="C4">
        <v>2</v>
      </c>
      <c r="D4">
        <v>0.898887634277344</v>
      </c>
      <c r="E4">
        <v>2.13055271179486</v>
      </c>
      <c r="F4">
        <v>39857</v>
      </c>
    </row>
    <row r="5" spans="1:6">
      <c r="A5">
        <v>3</v>
      </c>
      <c r="B5">
        <v>1</v>
      </c>
      <c r="C5">
        <v>3</v>
      </c>
      <c r="D5">
        <v>0.904063701629639</v>
      </c>
      <c r="E5">
        <v>1.83569948765346</v>
      </c>
      <c r="F5">
        <v>1414</v>
      </c>
    </row>
    <row r="6" spans="1:6">
      <c r="A6">
        <v>4</v>
      </c>
      <c r="B6">
        <v>2</v>
      </c>
      <c r="C6">
        <v>4</v>
      </c>
      <c r="D6">
        <v>0.829430460929871</v>
      </c>
      <c r="E6">
        <v>4.76160969203672</v>
      </c>
      <c r="F6">
        <v>143402</v>
      </c>
    </row>
    <row r="7" spans="1:6">
      <c r="A7">
        <v>5</v>
      </c>
      <c r="B7">
        <v>2</v>
      </c>
      <c r="C7">
        <v>5</v>
      </c>
      <c r="D7">
        <v>0.814873993396759</v>
      </c>
      <c r="E7">
        <v>5.31335505322611</v>
      </c>
      <c r="F7">
        <v>154216</v>
      </c>
    </row>
    <row r="8" spans="1:6">
      <c r="A8">
        <v>6</v>
      </c>
      <c r="B8">
        <v>3</v>
      </c>
      <c r="C8">
        <v>6</v>
      </c>
      <c r="D8">
        <v>0.912401437759399</v>
      </c>
      <c r="E8">
        <v>1.72499831273977</v>
      </c>
      <c r="F8">
        <v>205</v>
      </c>
    </row>
    <row r="9" spans="1:6">
      <c r="A9">
        <v>7</v>
      </c>
      <c r="B9">
        <v>3</v>
      </c>
      <c r="C9">
        <v>7</v>
      </c>
      <c r="D9">
        <v>0.905362844467163</v>
      </c>
      <c r="E9">
        <v>1.89522763917685</v>
      </c>
      <c r="F9">
        <v>99</v>
      </c>
    </row>
    <row r="10" spans="1:6">
      <c r="A10">
        <v>0</v>
      </c>
      <c r="B10">
        <v>0</v>
      </c>
      <c r="C10">
        <v>0</v>
      </c>
      <c r="D10">
        <v>0.886930048465729</v>
      </c>
      <c r="E10">
        <v>1.58457642274873</v>
      </c>
      <c r="F10">
        <v>64</v>
      </c>
    </row>
    <row r="11" spans="1:6">
      <c r="A11">
        <v>1</v>
      </c>
      <c r="B11">
        <v>0</v>
      </c>
      <c r="C11">
        <v>1</v>
      </c>
      <c r="D11">
        <v>0.876597166061401</v>
      </c>
      <c r="E11">
        <v>1.7728352217381</v>
      </c>
      <c r="F11">
        <v>12</v>
      </c>
    </row>
    <row r="12" spans="1:6">
      <c r="A12">
        <v>2</v>
      </c>
      <c r="B12">
        <v>1</v>
      </c>
      <c r="C12">
        <v>2</v>
      </c>
      <c r="D12">
        <v>0.903176724910736</v>
      </c>
      <c r="E12">
        <v>1.49495557454003</v>
      </c>
      <c r="F12">
        <v>58</v>
      </c>
    </row>
    <row r="13" spans="1:6">
      <c r="A13">
        <v>3</v>
      </c>
      <c r="B13">
        <v>1</v>
      </c>
      <c r="C13">
        <v>3</v>
      </c>
      <c r="D13">
        <v>0.877358853816986</v>
      </c>
      <c r="E13">
        <v>2.1712289142443</v>
      </c>
      <c r="F13">
        <v>39</v>
      </c>
    </row>
    <row r="14" spans="1:6">
      <c r="A14">
        <v>4</v>
      </c>
      <c r="B14">
        <v>2</v>
      </c>
      <c r="C14">
        <v>4</v>
      </c>
      <c r="D14">
        <v>0.794483661651611</v>
      </c>
      <c r="E14">
        <v>3.76564094239773</v>
      </c>
      <c r="F14">
        <v>35</v>
      </c>
    </row>
    <row r="15" spans="1:6">
      <c r="A15">
        <v>5</v>
      </c>
      <c r="B15">
        <v>2</v>
      </c>
      <c r="C15">
        <v>5</v>
      </c>
      <c r="D15">
        <v>0.834743559360504</v>
      </c>
      <c r="E15">
        <v>3.11848473152483</v>
      </c>
      <c r="F15">
        <v>220</v>
      </c>
    </row>
    <row r="16" spans="1:6">
      <c r="A16">
        <v>0</v>
      </c>
      <c r="B16">
        <v>0</v>
      </c>
      <c r="C16">
        <v>0</v>
      </c>
      <c r="D16">
        <v>0.891568064689636</v>
      </c>
      <c r="E16">
        <v>1.62537610473792</v>
      </c>
      <c r="F16">
        <v>53</v>
      </c>
    </row>
    <row r="17" spans="1:6">
      <c r="A17">
        <v>1</v>
      </c>
      <c r="B17">
        <v>0</v>
      </c>
      <c r="C17">
        <v>1</v>
      </c>
      <c r="D17">
        <v>0.89514547586441</v>
      </c>
      <c r="E17">
        <v>1.38785904387712</v>
      </c>
      <c r="F17">
        <v>56</v>
      </c>
    </row>
    <row r="18" spans="1:6">
      <c r="A18">
        <v>2</v>
      </c>
      <c r="B18">
        <v>1</v>
      </c>
      <c r="C18">
        <v>2</v>
      </c>
      <c r="D18">
        <v>0.922053694725037</v>
      </c>
      <c r="E18">
        <v>1.10045354264675</v>
      </c>
      <c r="F18">
        <v>162</v>
      </c>
    </row>
    <row r="19" spans="1:6">
      <c r="A19">
        <v>3</v>
      </c>
      <c r="B19">
        <v>1</v>
      </c>
      <c r="C19">
        <v>3</v>
      </c>
      <c r="D19">
        <v>0.914072453975677</v>
      </c>
      <c r="E19">
        <v>1.39858300254127</v>
      </c>
      <c r="F19">
        <v>64</v>
      </c>
    </row>
    <row r="20" spans="1:6">
      <c r="A20">
        <v>4</v>
      </c>
      <c r="B20">
        <v>2</v>
      </c>
      <c r="C20">
        <v>4</v>
      </c>
      <c r="D20">
        <v>0.941152036190033</v>
      </c>
      <c r="E20">
        <v>0.889461125846352</v>
      </c>
      <c r="F20">
        <v>95</v>
      </c>
    </row>
    <row r="21" spans="1:6">
      <c r="A21">
        <v>5</v>
      </c>
      <c r="B21">
        <v>2</v>
      </c>
      <c r="C21">
        <v>5</v>
      </c>
      <c r="D21">
        <v>0.94211733341217</v>
      </c>
      <c r="E21">
        <v>0.859226946242465</v>
      </c>
      <c r="F21">
        <v>340</v>
      </c>
    </row>
    <row r="22" spans="1:6">
      <c r="A22">
        <v>0</v>
      </c>
      <c r="B22">
        <v>0</v>
      </c>
      <c r="C22">
        <v>0</v>
      </c>
      <c r="D22">
        <v>0.796311259269714</v>
      </c>
      <c r="E22">
        <v>4.60671329114935</v>
      </c>
      <c r="F22">
        <v>128</v>
      </c>
    </row>
    <row r="23" spans="1:6">
      <c r="A23">
        <v>1</v>
      </c>
      <c r="B23">
        <v>0</v>
      </c>
      <c r="C23">
        <v>1</v>
      </c>
      <c r="D23">
        <v>0.824104130268097</v>
      </c>
      <c r="E23">
        <v>3.86752266361983</v>
      </c>
      <c r="F23">
        <v>354</v>
      </c>
    </row>
    <row r="24" spans="1:6">
      <c r="A24">
        <v>2</v>
      </c>
      <c r="B24">
        <v>1</v>
      </c>
      <c r="C24">
        <v>2</v>
      </c>
      <c r="D24">
        <v>0.816256642341614</v>
      </c>
      <c r="E24">
        <v>4.72234901844447</v>
      </c>
      <c r="F24">
        <v>363</v>
      </c>
    </row>
    <row r="25" spans="1:6">
      <c r="A25">
        <v>3</v>
      </c>
      <c r="B25">
        <v>1</v>
      </c>
      <c r="C25">
        <v>3</v>
      </c>
      <c r="D25">
        <v>0.811957538127899</v>
      </c>
      <c r="E25">
        <v>4.86368652871367</v>
      </c>
      <c r="F25">
        <v>276</v>
      </c>
    </row>
    <row r="26" spans="1:6">
      <c r="A26">
        <v>4</v>
      </c>
      <c r="B26">
        <v>2</v>
      </c>
      <c r="C26">
        <v>4</v>
      </c>
      <c r="D26">
        <v>0.916805803775787</v>
      </c>
      <c r="E26">
        <v>1.46521371846747</v>
      </c>
      <c r="F26">
        <v>190</v>
      </c>
    </row>
    <row r="27" spans="1:6">
      <c r="A27">
        <v>5</v>
      </c>
      <c r="B27">
        <v>2</v>
      </c>
      <c r="C27">
        <v>5</v>
      </c>
      <c r="D27">
        <v>0.627467513084412</v>
      </c>
      <c r="E27">
        <v>8.99772910771084</v>
      </c>
      <c r="F27">
        <v>121974</v>
      </c>
    </row>
    <row r="28" spans="1:6">
      <c r="A28">
        <v>6</v>
      </c>
      <c r="B28">
        <v>3</v>
      </c>
      <c r="C28">
        <v>6</v>
      </c>
      <c r="D28">
        <v>0.90822845697403</v>
      </c>
      <c r="E28">
        <v>1.64315684459009</v>
      </c>
      <c r="F28">
        <v>1120</v>
      </c>
    </row>
    <row r="29" spans="1:6">
      <c r="A29">
        <v>7</v>
      </c>
      <c r="B29">
        <v>3</v>
      </c>
      <c r="C29">
        <v>7</v>
      </c>
      <c r="D29">
        <v>0.888569831848145</v>
      </c>
      <c r="E29">
        <v>2.08872698164779</v>
      </c>
      <c r="F29">
        <v>248</v>
      </c>
    </row>
    <row r="30" spans="1:6">
      <c r="D30">
        <f>AVERAGE(D2:D29)</f>
        <v>0.867353994931493</v>
      </c>
      <c r="E30">
        <f>AVERAGE(E2:E29)</f>
        <v>2.68174593815946</v>
      </c>
      <c r="F30">
        <f>AVERAGE(F2:F29)</f>
        <v>19012.2857142857</v>
      </c>
    </row>
    <row r="31" spans="1:6">
      <c r="D31">
        <f>STDEV(D2:D29)</f>
        <v>0.0641447897304349</v>
      </c>
      <c r="E31">
        <f>STDEV(E2:E29)</f>
        <v>1.82739013041347</v>
      </c>
    </row>
  </sheetData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2"/>
  <sheetViews>
    <sheetView workbookViewId="0">
      <selection activeCell="I1" sqref="I$1:J$1048576"/>
    </sheetView>
  </sheetViews>
  <sheetFormatPr defaultColWidth="9" defaultRowHeight="14.4" outlineLevelRow="1" outlineLevelCol="7"/>
  <sheetData>
    <row r="1" spans="1:8">
      <c r="A1" s="1" t="s">
        <v>6</v>
      </c>
      <c r="B1" s="1" t="s">
        <v>7</v>
      </c>
      <c r="C1" s="1" t="s">
        <v>8</v>
      </c>
      <c r="D1" s="1" t="s">
        <v>9</v>
      </c>
      <c r="E1" s="1" t="s">
        <v>10</v>
      </c>
      <c r="F1" s="1" t="s">
        <v>11</v>
      </c>
      <c r="G1" s="1" t="s">
        <v>12</v>
      </c>
      <c r="H1" s="1" t="s">
        <v>13</v>
      </c>
    </row>
    <row r="2" spans="1:8">
      <c r="A2">
        <v>0.877101451158524</v>
      </c>
      <c r="B2">
        <v>0.0374720336201674</v>
      </c>
      <c r="C2">
        <v>2.70813831762946</v>
      </c>
      <c r="D2">
        <v>1.45322785988407</v>
      </c>
      <c r="E2">
        <v>50811.625</v>
      </c>
      <c r="F2">
        <v>62758.0475111417</v>
      </c>
      <c r="G2">
        <v>1098684.5184</v>
      </c>
      <c r="H2">
        <v>0.981993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corrupt</cp:lastModifiedBy>
  <dcterms:created xsi:type="dcterms:W3CDTF">2026-09-01T08:45:00Z</dcterms:created>
  <dcterms:modified xsi:type="dcterms:W3CDTF">2026-09-04T07:20:28Z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AB11E1DE5DA94C10BA694480ECCA6ABD_12</vt:lpwstr>
  </property>
  <property fmtid="{D5CDD505-2E9C-101B-9397-08002B2CF9AE}" pid="3" name="KSOProductBuildVer">
    <vt:lpwstr>2052-12.1.0.28505</vt:lpwstr>
  </property>
  <property fmtid="{D5CDD505-2E9C-101B-9397-08002B2CF9AE}" pid="4" name="CalculationRule">
    <vt:i4>0</vt:i4>
  </property>
</Properties>
</file>
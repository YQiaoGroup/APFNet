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Postgraduate\phd_project\PDFNet\JBHI_LaTex_Template\results\excel\CBCT\"/>
    </mc:Choice>
  </mc:AlternateContent>
  <bookViews>
    <workbookView windowWidth="30720" windowHeight="1350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<sst xmlns="http://schemas.openxmlformats.org/spreadsheetml/2006/main" count="17" uniqueCount="17">
  <si>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Case</t>
  </si>
  <si>
    <t>CT_Index</t>
  </si>
  <si>
    <t>CBCT_Index</t>
  </si>
  <si>
    <t>Dice</t>
  </si>
  <si>
    <t>ASSD</t>
  </si>
  <si>
    <t>JD</t>
  </si>
  <si>
    <t>Time_ms</t>
  </si>
  <si>
    <t>Mean Dice</t>
  </si>
  <si>
    <t>Std Dice</t>
  </si>
  <si>
    <t>Mean ASSD</t>
  </si>
  <si>
    <t>Std ASSD</t>
  </si>
  <si>
    <t>Mean JD</t>
  </si>
  <si>
    <t>Std JD</t>
  </si>
  <si>
    <t>FLOPs (M)</t>
  </si>
  <si>
    <t>Parameters (M)</t>
  </si>
  <si>
    <t>Mean GPU Inference Time (ms)</t>
  </si>
  <si>
    <t>MIn GPU Inference Time (ms)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</si>
</sst>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abSelected="1" workbookViewId="0">
      <selection activeCell="G31" sqref="G31"/>
    </sheetView>
  </sheetViews>
  <sheetFormatPr defaultColWidth="9" defaultRowHeight="14.4" outlineLevelCol="6"/>
  <cols>
    <col min="4" max="7" width="12.8888888888889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0</v>
      </c>
      <c r="C2">
        <v>0</v>
      </c>
      <c r="D2">
        <v>0.86145007610321</v>
      </c>
      <c r="E2">
        <v>2.12525888702443</v>
      </c>
      <c r="F2">
        <v>1737</v>
      </c>
      <c r="G2">
        <v>43.6981773376465</v>
      </c>
    </row>
    <row r="3" spans="1:7">
      <c r="A3">
        <v>1</v>
      </c>
      <c r="B3">
        <v>0</v>
      </c>
      <c r="C3">
        <v>1</v>
      </c>
      <c r="D3">
        <v>0.898123800754547</v>
      </c>
      <c r="E3">
        <v>1.54247871042569</v>
      </c>
      <c r="F3">
        <v>1826</v>
      </c>
      <c r="G3">
        <v>43.3582077026367</v>
      </c>
    </row>
    <row r="4" spans="1:7">
      <c r="A4">
        <v>2</v>
      </c>
      <c r="B4">
        <v>1</v>
      </c>
      <c r="C4">
        <v>2</v>
      </c>
      <c r="D4">
        <v>0.890449106693268</v>
      </c>
      <c r="E4">
        <v>2.1910680727058</v>
      </c>
      <c r="F4">
        <v>230</v>
      </c>
      <c r="G4">
        <v>43.4882545471191</v>
      </c>
    </row>
    <row r="5" spans="1:7">
      <c r="A5">
        <v>3</v>
      </c>
      <c r="B5">
        <v>1</v>
      </c>
      <c r="C5">
        <v>3</v>
      </c>
      <c r="D5">
        <v>0.917958855628967</v>
      </c>
      <c r="E5">
        <v>1.47372247397487</v>
      </c>
      <c r="F5">
        <v>1756</v>
      </c>
      <c r="G5">
        <v>43.4974708557129</v>
      </c>
    </row>
    <row r="6" spans="1:7">
      <c r="A6">
        <v>4</v>
      </c>
      <c r="B6">
        <v>2</v>
      </c>
      <c r="C6">
        <v>4</v>
      </c>
      <c r="D6">
        <v>0.861083626747131</v>
      </c>
      <c r="E6">
        <v>3.76450703882637</v>
      </c>
      <c r="F6">
        <v>41388</v>
      </c>
      <c r="G6">
        <v>43.5578880310059</v>
      </c>
    </row>
    <row r="7" spans="1:7">
      <c r="A7">
        <v>5</v>
      </c>
      <c r="B7">
        <v>2</v>
      </c>
      <c r="C7">
        <v>5</v>
      </c>
      <c r="D7">
        <v>0.859060525894165</v>
      </c>
      <c r="E7">
        <v>3.82027802098187</v>
      </c>
      <c r="F7">
        <v>42042</v>
      </c>
      <c r="G7">
        <v>43.7636795043945</v>
      </c>
    </row>
    <row r="8" spans="1:7">
      <c r="A8">
        <v>6</v>
      </c>
      <c r="B8">
        <v>3</v>
      </c>
      <c r="C8">
        <v>6</v>
      </c>
      <c r="D8">
        <v>0.9098060131073</v>
      </c>
      <c r="E8">
        <v>1.81527671239312</v>
      </c>
      <c r="F8">
        <v>1888</v>
      </c>
      <c r="G8">
        <v>79.4798049926758</v>
      </c>
    </row>
    <row r="9" spans="1:7">
      <c r="A9">
        <v>7</v>
      </c>
      <c r="B9">
        <v>3</v>
      </c>
      <c r="C9">
        <v>7</v>
      </c>
      <c r="D9">
        <v>0.909047842025757</v>
      </c>
      <c r="E9">
        <v>1.83573408094781</v>
      </c>
      <c r="F9">
        <v>861</v>
      </c>
      <c r="G9">
        <v>43.4350090026855</v>
      </c>
    </row>
    <row r="10" spans="1:7">
      <c r="A10">
        <v>0</v>
      </c>
      <c r="B10">
        <v>0</v>
      </c>
      <c r="C10">
        <v>0</v>
      </c>
      <c r="D10">
        <v>0.912669360637665</v>
      </c>
      <c r="E10">
        <v>1.22507587200428</v>
      </c>
      <c r="F10">
        <v>5618</v>
      </c>
      <c r="G10">
        <v>48.2222061157227</v>
      </c>
    </row>
    <row r="11" spans="1:7">
      <c r="A11">
        <v>1</v>
      </c>
      <c r="B11">
        <v>0</v>
      </c>
      <c r="C11">
        <v>1</v>
      </c>
      <c r="D11">
        <v>0.919939041137695</v>
      </c>
      <c r="E11">
        <v>1.07206688446904</v>
      </c>
      <c r="F11">
        <v>3919</v>
      </c>
      <c r="G11">
        <v>47.9016952514648</v>
      </c>
    </row>
    <row r="12" spans="1:7">
      <c r="A12">
        <v>2</v>
      </c>
      <c r="B12">
        <v>1</v>
      </c>
      <c r="C12">
        <v>2</v>
      </c>
      <c r="D12">
        <v>0.908958077430725</v>
      </c>
      <c r="E12">
        <v>1.52067422793834</v>
      </c>
      <c r="F12">
        <v>3380</v>
      </c>
      <c r="G12">
        <v>48.0665588378906</v>
      </c>
    </row>
    <row r="13" spans="1:7">
      <c r="A13">
        <v>3</v>
      </c>
      <c r="B13">
        <v>1</v>
      </c>
      <c r="C13">
        <v>3</v>
      </c>
      <c r="D13">
        <v>0.896414697170258</v>
      </c>
      <c r="E13">
        <v>1.85800495252841</v>
      </c>
      <c r="F13">
        <v>3185</v>
      </c>
      <c r="G13">
        <v>47.8218231201172</v>
      </c>
    </row>
    <row r="14" spans="1:7">
      <c r="A14">
        <v>4</v>
      </c>
      <c r="B14">
        <v>2</v>
      </c>
      <c r="C14">
        <v>4</v>
      </c>
      <c r="D14">
        <v>0.848731160163879</v>
      </c>
      <c r="E14">
        <v>2.83558241531544</v>
      </c>
      <c r="F14">
        <v>10036</v>
      </c>
      <c r="G14">
        <v>61.1000328063965</v>
      </c>
    </row>
    <row r="15" spans="1:7">
      <c r="A15">
        <v>5</v>
      </c>
      <c r="B15">
        <v>2</v>
      </c>
      <c r="C15">
        <v>5</v>
      </c>
      <c r="D15">
        <v>0.905736148357391</v>
      </c>
      <c r="E15">
        <v>1.97242304660232</v>
      </c>
      <c r="F15">
        <v>13221</v>
      </c>
      <c r="G15">
        <v>47.9733772277832</v>
      </c>
    </row>
    <row r="16" spans="1:7">
      <c r="A16">
        <v>0</v>
      </c>
      <c r="B16">
        <v>0</v>
      </c>
      <c r="C16">
        <v>0</v>
      </c>
      <c r="D16">
        <v>0.87991189956665</v>
      </c>
      <c r="E16">
        <v>1.78777522097058</v>
      </c>
      <c r="F16">
        <v>40643</v>
      </c>
      <c r="G16">
        <v>47.6487693786621</v>
      </c>
    </row>
    <row r="17" spans="1:7">
      <c r="A17">
        <v>1</v>
      </c>
      <c r="B17">
        <v>0</v>
      </c>
      <c r="C17">
        <v>1</v>
      </c>
      <c r="D17">
        <v>0.883027851581573</v>
      </c>
      <c r="E17">
        <v>1.52991845048517</v>
      </c>
      <c r="F17">
        <v>45358</v>
      </c>
      <c r="G17">
        <v>47.7234230041504</v>
      </c>
    </row>
    <row r="18" spans="1:7">
      <c r="A18">
        <v>2</v>
      </c>
      <c r="B18">
        <v>1</v>
      </c>
      <c r="C18">
        <v>2</v>
      </c>
      <c r="D18">
        <v>0.905978262424469</v>
      </c>
      <c r="E18">
        <v>1.46375579589684</v>
      </c>
      <c r="F18">
        <v>10124</v>
      </c>
      <c r="G18">
        <v>47.3610229492188</v>
      </c>
    </row>
    <row r="19" spans="1:7">
      <c r="A19">
        <v>3</v>
      </c>
      <c r="B19">
        <v>1</v>
      </c>
      <c r="C19">
        <v>3</v>
      </c>
      <c r="D19">
        <v>0.886164307594299</v>
      </c>
      <c r="E19">
        <v>2.02757259562948</v>
      </c>
      <c r="F19">
        <v>7394</v>
      </c>
      <c r="G19">
        <v>85.7058258056641</v>
      </c>
    </row>
    <row r="20" spans="1:7">
      <c r="A20">
        <v>4</v>
      </c>
      <c r="B20">
        <v>2</v>
      </c>
      <c r="C20">
        <v>4</v>
      </c>
      <c r="D20">
        <v>0.938186287879944</v>
      </c>
      <c r="E20">
        <v>1.01086004920413</v>
      </c>
      <c r="F20">
        <v>579</v>
      </c>
      <c r="G20">
        <v>57.6860160827637</v>
      </c>
    </row>
    <row r="21" spans="1:7">
      <c r="A21">
        <v>5</v>
      </c>
      <c r="B21">
        <v>2</v>
      </c>
      <c r="C21">
        <v>5</v>
      </c>
      <c r="D21">
        <v>0.941654741764069</v>
      </c>
      <c r="E21">
        <v>0.918856929035903</v>
      </c>
      <c r="F21">
        <v>1045</v>
      </c>
      <c r="G21">
        <v>137.435134887695</v>
      </c>
    </row>
    <row r="22" spans="1:7">
      <c r="A22">
        <v>0</v>
      </c>
      <c r="B22">
        <v>0</v>
      </c>
      <c r="C22">
        <v>0</v>
      </c>
      <c r="D22">
        <v>0.819558024406433</v>
      </c>
      <c r="E22">
        <v>3.76331501960745</v>
      </c>
      <c r="F22">
        <v>597</v>
      </c>
      <c r="G22">
        <v>51.9413757324219</v>
      </c>
    </row>
    <row r="23" spans="1:7">
      <c r="A23">
        <v>1</v>
      </c>
      <c r="B23">
        <v>0</v>
      </c>
      <c r="C23">
        <v>1</v>
      </c>
      <c r="D23">
        <v>0.837675631046295</v>
      </c>
      <c r="E23">
        <v>3.42336284846489</v>
      </c>
      <c r="F23">
        <v>313</v>
      </c>
      <c r="G23">
        <v>55.7363204956055</v>
      </c>
    </row>
    <row r="24" spans="1:7">
      <c r="A24">
        <v>2</v>
      </c>
      <c r="B24">
        <v>1</v>
      </c>
      <c r="C24">
        <v>2</v>
      </c>
      <c r="D24">
        <v>0.858471572399139</v>
      </c>
      <c r="E24">
        <v>3.45013140180778</v>
      </c>
      <c r="F24">
        <v>388</v>
      </c>
      <c r="G24">
        <v>52.0652809143066</v>
      </c>
    </row>
    <row r="25" spans="1:7">
      <c r="A25">
        <v>3</v>
      </c>
      <c r="B25">
        <v>1</v>
      </c>
      <c r="C25">
        <v>3</v>
      </c>
      <c r="D25">
        <v>0.854892611503601</v>
      </c>
      <c r="E25">
        <v>3.55032404170818</v>
      </c>
      <c r="F25">
        <v>444</v>
      </c>
      <c r="G25">
        <v>51.6536331176758</v>
      </c>
    </row>
    <row r="26" spans="1:7">
      <c r="A26">
        <v>4</v>
      </c>
      <c r="B26">
        <v>2</v>
      </c>
      <c r="C26">
        <v>4</v>
      </c>
      <c r="D26">
        <v>0.90860652923584</v>
      </c>
      <c r="E26">
        <v>1.99876041806496</v>
      </c>
      <c r="F26">
        <v>29570</v>
      </c>
      <c r="G26">
        <v>51.806209564209</v>
      </c>
    </row>
    <row r="27" spans="1:7">
      <c r="A27">
        <v>5</v>
      </c>
      <c r="B27">
        <v>2</v>
      </c>
      <c r="C27">
        <v>5</v>
      </c>
      <c r="D27">
        <v>0.665042281150818</v>
      </c>
      <c r="E27">
        <v>8.28731943424559</v>
      </c>
      <c r="F27">
        <v>18512</v>
      </c>
      <c r="G27">
        <v>52.4021759033203</v>
      </c>
    </row>
    <row r="28" spans="1:7">
      <c r="A28">
        <v>6</v>
      </c>
      <c r="B28">
        <v>3</v>
      </c>
      <c r="C28">
        <v>6</v>
      </c>
      <c r="D28">
        <v>0.930346727371216</v>
      </c>
      <c r="E28">
        <v>1.18763949632783</v>
      </c>
      <c r="F28">
        <v>4869</v>
      </c>
      <c r="G28">
        <v>51.7775039672852</v>
      </c>
    </row>
    <row r="29" spans="1:7">
      <c r="A29">
        <v>7</v>
      </c>
      <c r="B29">
        <v>3</v>
      </c>
      <c r="C29">
        <v>7</v>
      </c>
      <c r="D29">
        <v>0.910282731056213</v>
      </c>
      <c r="E29">
        <v>1.68571355906338</v>
      </c>
      <c r="F29">
        <v>3393</v>
      </c>
      <c r="G29">
        <v>51.8082542419434</v>
      </c>
    </row>
    <row r="30" spans="1:7">
      <c r="D30">
        <f>AVERAGE(D2:D29)</f>
        <v>0.882829563958304</v>
      </c>
      <c r="E30">
        <f>AVERAGE(E2:E29)</f>
        <v>2.3263377377375</v>
      </c>
      <c r="F30">
        <f>AVERAGE(F2:F29)</f>
        <v>10511.2857142857</v>
      </c>
      <c r="G30">
        <f>MIN(G2:G29)</f>
        <v>43.3582077026367</v>
      </c>
    </row>
    <row r="31" spans="1:7">
      <c r="D31">
        <f>STDEV(D2:D29)</f>
        <v>0.0526560673539114</v>
      </c>
      <c r="E31">
        <f>STDEV(E2:E29)</f>
        <v>1.47933118932602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"/>
  <sheetViews>
    <sheetView workbookViewId="0">
      <selection activeCell="A1" sqref="A1"/>
    </sheetView>
  </sheetViews>
  <sheetFormatPr defaultColWidth="9" defaultRowHeight="14.4" outlineLevelRow="1"/>
  <sheetData>
    <row r="1" spans="1:10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</row>
    <row r="2" spans="1:10">
      <c r="A2">
        <v>0.888372480869293</v>
      </c>
      <c r="B2">
        <v>0.0244666221354682</v>
      </c>
      <c r="C2">
        <v>2.32104049966</v>
      </c>
      <c r="D2">
        <v>0.941272519480736</v>
      </c>
      <c r="E2">
        <v>11466</v>
      </c>
      <c r="F2">
        <v>18679.7705935745</v>
      </c>
      <c r="G2">
        <v>235779.7248</v>
      </c>
      <c r="H2">
        <v>0.712613</v>
      </c>
      <c r="I2">
        <v>48.0348114967346</v>
      </c>
      <c r="J2">
        <v>43.3582077026367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corrupt</cp:lastModifiedBy>
  <dcterms:created xsi:type="dcterms:W3CDTF">2026-09-02T07:31:00Z</dcterms:created>
  <dcterms:modified xsi:type="dcterms:W3CDTF">2026-09-07T04:53:54Z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A5C13E219B714C718CC64FB5B18DE02D_12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
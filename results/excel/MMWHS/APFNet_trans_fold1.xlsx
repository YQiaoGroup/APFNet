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Postgraduate\phd_project\PDFNet\JBHI_LaTex_Template\results\excel\MMWHS\"/>
    </mc:Choice>
  </mc:AlternateContent>
  <bookViews>
    <workbookView windowWidth="30720" windowHeight="13500"/>
  </bookViews>
  <sheets>
    <sheet name="Case Results" sheetId="1" r:id="rId1"/>
    <sheet name="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<sst xmlns="http://schemas.openxmlformats.org/spreadsheetml/2006/main" count="76" uniqueCount="76">
  <si>
    <t>Case</t>
  </si>
  <si>
    <t>Patient_ID</t>
  </si>
  <si>
    <t>CT_Fixed_Path</t>
  </si>
  <si>
    <t>MR_Moving_Path</t>
  </si>
  <si>
    <t>Dice</t>
  </si>
  <si>
    <t>ASSD</t>
  </si>
  <si>
    <t>JD_Count</t>
  </si>
  <si>
    <t>JD_Percentage(%)</t>
  </si>
  <si>
    <t>Time_ms</t>
  </si>
  <si>
    <t>image_0016</t>
  </si>
  <si>
    <t>/home/boys/Datasets/multimodal/MMWHS/imagesVal_CT/image_0016.nii.gz</t>
  </si>
  <si>
    <t>/home/boys/Datasets/multimodal/MMWHS/imagesVal_MRI/image_0016.nii.gz</t>
  </si>
  <si>
    <t>image_0017</t>
  </si>
  <si>
    <t>/home/boys/Datasets/multimodal/MMWHS/imagesVal_CT/image_0017.nii.gz</t>
  </si>
  <si>
    <t>/home/boys/Datasets/multimodal/MMWHS/imagesVal_MRI/image_0017.nii.gz</t>
  </si>
  <si>
    <t>image_0018</t>
  </si>
  <si>
    <t>/home/boys/Datasets/multimodal/MMWHS/imagesVal_CT/image_0018.nii.gz</t>
  </si>
  <si>
    <t>/home/boys/Datasets/multimodal/MMWHS/imagesVal_MRI/image_0018.nii.gz</t>
  </si>
  <si>
    <t>image_0019</t>
  </si>
  <si>
    <t>/home/boys/Datasets/multimodal/MMWHS/imagesVal_CT/image_0019.nii.gz</t>
  </si>
  <si>
    <t>/home/boys/Datasets/multimodal/MMWHS/imagesVal_MRI/image_0019.nii.gz</t>
  </si>
  <si>
    <t>image_0020</t>
  </si>
  <si>
    <t>/home/boys/Datasets/multimodal/MMWHS/imagesVal_CT/image_0020.nii.gz</t>
  </si>
  <si>
    <t>/home/boys/Datasets/multimodal/MMWHS/imagesVal_MRI/image_0020.nii.gz</t>
  </si>
  <si>
    <t>image_0001</t>
  </si>
  <si>
    <t>/home/boys/Datasets/multimodal/MMWHS/imagesVal_CT/image_0001.nii.gz</t>
  </si>
  <si>
    <t>/home/boys/Datasets/multimodal/MMWHS/imagesVal_MRI/image_0001.nii.gz</t>
  </si>
  <si>
    <t>image_0002</t>
  </si>
  <si>
    <t>/home/boys/Datasets/multimodal/MMWHS/imagesVal_CT/image_0002.nii.gz</t>
  </si>
  <si>
    <t>/home/boys/Datasets/multimodal/MMWHS/imagesVal_MRI/image_0002.nii.gz</t>
  </si>
  <si>
    <t>image_0003</t>
  </si>
  <si>
    <t>/home/boys/Datasets/multimodal/MMWHS/imagesVal_CT/image_0003.nii.gz</t>
  </si>
  <si>
    <t>/home/boys/Datasets/multimodal/MMWHS/imagesVal_MRI/image_0003.nii.gz</t>
  </si>
  <si>
    <t>image_0004</t>
  </si>
  <si>
    <t>/home/boys/Datasets/multimodal/MMWHS/imagesVal_CT/image_0004.nii.gz</t>
  </si>
  <si>
    <t>/home/boys/Datasets/multimodal/MMWHS/imagesVal_MRI/image_0004.nii.gz</t>
  </si>
  <si>
    <t>image_0005</t>
  </si>
  <si>
    <t>/home/boys/Datasets/multimodal/MMWHS/imagesVal_CT/image_0005.nii.gz</t>
  </si>
  <si>
    <t>/home/boys/Datasets/multimodal/MMWHS/imagesVal_MRI/image_0005.nii.gz</t>
  </si>
  <si>
    <t>image_0006</t>
  </si>
  <si>
    <t>/home/boys/Datasets/multimodal/MMWHS/imagesVal_CT/image_0006.nii.gz</t>
  </si>
  <si>
    <t>/home/boys/Datasets/multimodal/MMWHS/imagesVal_MRI/image_0006.nii.gz</t>
  </si>
  <si>
    <t>image_0007</t>
  </si>
  <si>
    <t>/home/boys/Datasets/multimodal/MMWHS/imagesVal_CT/image_0007.nii.gz</t>
  </si>
  <si>
    <t>/home/boys/Datasets/multimodal/MMWHS/imagesVal_MRI/image_0007.nii.gz</t>
  </si>
  <si>
    <t>image_0008</t>
  </si>
  <si>
    <t>/home/boys/Datasets/multimodal/MMWHS/imagesVal_CT/image_0008.nii.gz</t>
  </si>
  <si>
    <t>/home/boys/Datasets/multimodal/MMWHS/imagesVal_MRI/image_0008.nii.gz</t>
  </si>
  <si>
    <t>image_0009</t>
  </si>
  <si>
    <t>/home/boys/Datasets/multimodal/MMWHS/imagesVal_CT/image_0009.nii.gz</t>
  </si>
  <si>
    <t>/home/boys/Datasets/multimodal/MMWHS/imagesVal_MRI/image_0009.nii.gz</t>
  </si>
  <si>
    <t>image_0010</t>
  </si>
  <si>
    <t>/home/boys/Datasets/multimodal/MMWHS/imagesVal_CT/image_0010.nii.gz</t>
  </si>
  <si>
    <t>/home/boys/Datasets/multimodal/MMWHS/imagesVal_MRI/image_0010.nii.gz</t>
  </si>
  <si>
    <t>image_0011</t>
  </si>
  <si>
    <t>/home/boys/Datasets/multimodal/MMWHS/imagesVal_CT/image_0011.nii.gz</t>
  </si>
  <si>
    <t>/home/boys/Datasets/multimodal/MMWHS/imagesVal_MRI/image_0011.nii.gz</t>
  </si>
  <si>
    <t>image_0012</t>
  </si>
  <si>
    <t>/home/boys/Datasets/multimodal/MMWHS/imagesVal_CT/image_0012.nii.gz</t>
  </si>
  <si>
    <t>/home/boys/Datasets/multimodal/MMWHS/imagesVal_MRI/image_0012.nii.gz</t>
  </si>
  <si>
    <t>image_0013</t>
  </si>
  <si>
    <t>/home/boys/Datasets/multimodal/MMWHS/imagesVal_CT/image_0013.nii.gz</t>
  </si>
  <si>
    <t>/home/boys/Datasets/multimodal/MMWHS/imagesVal_MRI/image_0013.nii.gz</t>
  </si>
  <si>
    <t>image_0014</t>
  </si>
  <si>
    <t>/home/boys/Datasets/multimodal/MMWHS/imagesVal_CT/image_0014.nii.gz</t>
  </si>
  <si>
    <t>/home/boys/Datasets/multimodal/MMWHS/imagesVal_MRI/image_0014.nii.gz</t>
  </si>
  <si>
    <t>image_0015</t>
  </si>
  <si>
    <t>/home/boys/Datasets/multimodal/MMWHS/imagesVal_CT/image_0015.nii.gz</t>
  </si>
  <si>
    <t>/home/boys/Datasets/multimodal/MMWHS/imagesVal_MRI/image_0015.nii.gz</t>
  </si>
  <si>
    <t>Number_of_Cases</t>
  </si>
  <si>
    <t>Mean_Dice</t>
  </si>
  <si>
    <t>Mean_ASSD</t>
  </si>
  <si>
    <t>Mean_JD_Count</t>
  </si>
  <si>
    <t>Mean_JD_Percentage(%)</t>
  </si>
  <si>
    <t>Mean_Time_ms</t>
  </si>
  <si>
    <t>Std_Time_ms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</si>
</sst>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3"/>
  <sheetViews>
    <sheetView tabSelected="1" workbookViewId="0">
      <selection activeCell="K13" sqref="K13"/>
    </sheetView>
  </sheetViews>
  <sheetFormatPr defaultColWidth="9" defaultRowHeight="14.4"/>
  <cols>
    <col min="5" max="6" width="12.8888888888889"/>
    <col min="9" max="9" width="12.8888888888889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0</v>
      </c>
      <c r="B2" t="s">
        <v>9</v>
      </c>
      <c r="C2" t="s">
        <v>10</v>
      </c>
      <c r="D2" t="s">
        <v>11</v>
      </c>
      <c r="E2">
        <v>0.777390956878662</v>
      </c>
      <c r="F2">
        <v>2.4383197395788</v>
      </c>
      <c r="G2">
        <v>1751</v>
      </c>
      <c r="H2">
        <v>0.0834941864013672</v>
      </c>
      <c r="I2">
        <v>344.987640380859</v>
      </c>
    </row>
    <row r="3" spans="1:9">
      <c r="A3">
        <v>1</v>
      </c>
      <c r="B3" t="s">
        <v>12</v>
      </c>
      <c r="C3" t="s">
        <v>13</v>
      </c>
      <c r="D3" t="s">
        <v>14</v>
      </c>
      <c r="E3">
        <v>0.633797168731689</v>
      </c>
      <c r="F3">
        <v>4.8095990408519</v>
      </c>
      <c r="G3">
        <v>19817</v>
      </c>
      <c r="H3">
        <v>0.944948196411133</v>
      </c>
      <c r="I3">
        <v>84.8721923828125</v>
      </c>
    </row>
    <row r="4" spans="1:9">
      <c r="A4">
        <v>2</v>
      </c>
      <c r="B4" t="s">
        <v>15</v>
      </c>
      <c r="C4" t="s">
        <v>16</v>
      </c>
      <c r="D4" t="s">
        <v>17</v>
      </c>
      <c r="E4">
        <v>0.770959496498108</v>
      </c>
      <c r="F4">
        <v>2.52598193618249</v>
      </c>
      <c r="G4">
        <v>37936</v>
      </c>
      <c r="H4">
        <v>1.80892944335937</v>
      </c>
      <c r="I4">
        <v>82.1739501953125</v>
      </c>
    </row>
    <row r="5" spans="1:9">
      <c r="A5">
        <v>3</v>
      </c>
      <c r="B5" t="s">
        <v>18</v>
      </c>
      <c r="C5" t="s">
        <v>19</v>
      </c>
      <c r="D5" t="s">
        <v>20</v>
      </c>
      <c r="E5">
        <v>0.679617524147034</v>
      </c>
      <c r="F5">
        <v>4.25083669221782</v>
      </c>
      <c r="G5">
        <v>4175</v>
      </c>
      <c r="H5">
        <v>0.199079513549805</v>
      </c>
      <c r="I5">
        <v>82.3203811645508</v>
      </c>
    </row>
    <row r="6" spans="1:9">
      <c r="A6">
        <v>4</v>
      </c>
      <c r="B6" t="s">
        <v>21</v>
      </c>
      <c r="C6" t="s">
        <v>22</v>
      </c>
      <c r="D6" t="s">
        <v>23</v>
      </c>
      <c r="E6">
        <v>0.714230895042419</v>
      </c>
      <c r="F6">
        <v>3.58179817431465</v>
      </c>
      <c r="G6">
        <v>8167</v>
      </c>
      <c r="H6">
        <v>0.389432907104492</v>
      </c>
      <c r="I6">
        <v>85.3032989501953</v>
      </c>
    </row>
    <row r="7" spans="1:9">
      <c r="A7">
        <v>0</v>
      </c>
      <c r="B7" t="s">
        <v>24</v>
      </c>
      <c r="C7" t="s">
        <v>25</v>
      </c>
      <c r="D7" t="s">
        <v>26</v>
      </c>
      <c r="E7">
        <v>0.611316561698914</v>
      </c>
      <c r="F7">
        <v>4.93221601622618</v>
      </c>
      <c r="G7">
        <v>32003</v>
      </c>
      <c r="H7">
        <v>1.52602195739746</v>
      </c>
      <c r="I7">
        <v>336.081909179688</v>
      </c>
    </row>
    <row r="8" spans="1:9">
      <c r="A8">
        <v>1</v>
      </c>
      <c r="B8" t="s">
        <v>27</v>
      </c>
      <c r="C8" t="s">
        <v>28</v>
      </c>
      <c r="D8" t="s">
        <v>29</v>
      </c>
      <c r="E8">
        <v>0.550079584121704</v>
      </c>
      <c r="F8">
        <v>4.98003995533929</v>
      </c>
      <c r="G8">
        <v>1113</v>
      </c>
      <c r="H8">
        <v>0.0530719757080078</v>
      </c>
      <c r="I8">
        <v>89.9911651611328</v>
      </c>
    </row>
    <row r="9" spans="1:9">
      <c r="A9">
        <v>2</v>
      </c>
      <c r="B9" t="s">
        <v>30</v>
      </c>
      <c r="C9" t="s">
        <v>31</v>
      </c>
      <c r="D9" t="s">
        <v>32</v>
      </c>
      <c r="E9">
        <v>0.657719135284424</v>
      </c>
      <c r="F9">
        <v>4.02021636365342</v>
      </c>
      <c r="G9">
        <v>10822</v>
      </c>
      <c r="H9">
        <v>0.516033172607422</v>
      </c>
      <c r="I9">
        <v>94.2643203735352</v>
      </c>
    </row>
    <row r="10" spans="1:9">
      <c r="A10">
        <v>3</v>
      </c>
      <c r="B10" t="s">
        <v>33</v>
      </c>
      <c r="C10" t="s">
        <v>34</v>
      </c>
      <c r="D10" t="s">
        <v>35</v>
      </c>
      <c r="E10">
        <v>0.457683682441711</v>
      </c>
      <c r="F10">
        <v>7.0105674846739</v>
      </c>
      <c r="G10">
        <v>9348</v>
      </c>
      <c r="H10">
        <v>0.445747375488281</v>
      </c>
      <c r="I10">
        <v>96.6144027709961</v>
      </c>
    </row>
    <row r="11" spans="1:9">
      <c r="A11">
        <v>4</v>
      </c>
      <c r="B11" t="s">
        <v>36</v>
      </c>
      <c r="C11" t="s">
        <v>37</v>
      </c>
      <c r="D11" t="s">
        <v>38</v>
      </c>
      <c r="E11">
        <v>0.474664688110352</v>
      </c>
      <c r="F11">
        <v>7.93597185044942</v>
      </c>
      <c r="G11">
        <v>17520</v>
      </c>
      <c r="H11">
        <v>0.835418701171875</v>
      </c>
      <c r="I11">
        <v>93.5167999267578</v>
      </c>
    </row>
    <row r="12" spans="1:9">
      <c r="A12">
        <v>0</v>
      </c>
      <c r="B12" t="s">
        <v>39</v>
      </c>
      <c r="C12" t="s">
        <v>40</v>
      </c>
      <c r="D12" t="s">
        <v>41</v>
      </c>
      <c r="E12">
        <v>0.544443130493164</v>
      </c>
      <c r="F12">
        <v>6.0913478322113</v>
      </c>
      <c r="G12">
        <v>16805</v>
      </c>
      <c r="H12">
        <v>0.801324844360352</v>
      </c>
      <c r="I12">
        <v>411.052032470703</v>
      </c>
    </row>
    <row r="13" spans="1:9">
      <c r="A13">
        <v>1</v>
      </c>
      <c r="B13" t="s">
        <v>42</v>
      </c>
      <c r="C13" t="s">
        <v>43</v>
      </c>
      <c r="D13" t="s">
        <v>44</v>
      </c>
      <c r="E13">
        <v>0.539771020412445</v>
      </c>
      <c r="F13">
        <v>5.93687756928839</v>
      </c>
      <c r="G13">
        <v>27540</v>
      </c>
      <c r="H13">
        <v>1.31320953369141</v>
      </c>
      <c r="I13">
        <v>44.2337265014648</v>
      </c>
    </row>
    <row r="14" spans="1:9">
      <c r="A14">
        <v>2</v>
      </c>
      <c r="B14" t="s">
        <v>45</v>
      </c>
      <c r="C14" t="s">
        <v>46</v>
      </c>
      <c r="D14" t="s">
        <v>47</v>
      </c>
      <c r="E14">
        <v>0.706960558891296</v>
      </c>
      <c r="F14">
        <v>4.64330335496801</v>
      </c>
      <c r="G14">
        <v>2735</v>
      </c>
      <c r="H14">
        <v>0.130414962768555</v>
      </c>
      <c r="I14">
        <v>44.139518737793</v>
      </c>
    </row>
    <row r="15" spans="1:9">
      <c r="A15">
        <v>3</v>
      </c>
      <c r="B15" t="s">
        <v>48</v>
      </c>
      <c r="C15" t="s">
        <v>49</v>
      </c>
      <c r="D15" t="s">
        <v>50</v>
      </c>
      <c r="E15">
        <v>0.470134437084198</v>
      </c>
      <c r="F15">
        <v>6.36848061745972</v>
      </c>
      <c r="G15">
        <v>10466</v>
      </c>
      <c r="H15">
        <v>0.499057769775391</v>
      </c>
      <c r="I15">
        <v>44.3740158081055</v>
      </c>
    </row>
    <row r="16" spans="1:9">
      <c r="A16">
        <v>4</v>
      </c>
      <c r="B16" t="s">
        <v>51</v>
      </c>
      <c r="C16" t="s">
        <v>52</v>
      </c>
      <c r="D16" t="s">
        <v>53</v>
      </c>
      <c r="E16">
        <v>0.738432288169861</v>
      </c>
      <c r="F16">
        <v>2.84257419004742</v>
      </c>
      <c r="G16">
        <v>1003</v>
      </c>
      <c r="H16">
        <v>0.0478267669677734</v>
      </c>
      <c r="I16">
        <v>45.5864334106445</v>
      </c>
    </row>
    <row r="17" spans="1:9">
      <c r="A17">
        <v>0</v>
      </c>
      <c r="B17" t="s">
        <v>54</v>
      </c>
      <c r="C17" t="s">
        <v>55</v>
      </c>
      <c r="D17" t="s">
        <v>56</v>
      </c>
      <c r="E17">
        <v>0.737199246883392</v>
      </c>
      <c r="F17">
        <v>3.60621774892396</v>
      </c>
      <c r="G17">
        <v>2501</v>
      </c>
      <c r="H17">
        <v>0.119256973266602</v>
      </c>
      <c r="I17">
        <v>368.755706787109</v>
      </c>
    </row>
    <row r="18" spans="1:9">
      <c r="A18">
        <v>1</v>
      </c>
      <c r="B18" t="s">
        <v>57</v>
      </c>
      <c r="C18" t="s">
        <v>58</v>
      </c>
      <c r="D18" t="s">
        <v>59</v>
      </c>
      <c r="E18">
        <v>0.507493436336517</v>
      </c>
      <c r="F18">
        <v>8.3118607825028</v>
      </c>
      <c r="G18">
        <v>12932</v>
      </c>
      <c r="H18">
        <v>0.616645812988281</v>
      </c>
      <c r="I18">
        <v>47.2248306274414</v>
      </c>
    </row>
    <row r="19" spans="1:9">
      <c r="A19">
        <v>2</v>
      </c>
      <c r="B19" t="s">
        <v>60</v>
      </c>
      <c r="C19" t="s">
        <v>61</v>
      </c>
      <c r="D19" t="s">
        <v>62</v>
      </c>
      <c r="E19">
        <v>0.323799043893814</v>
      </c>
      <c r="F19">
        <v>11.206722777075</v>
      </c>
      <c r="G19">
        <v>16395</v>
      </c>
      <c r="H19">
        <v>0.781774520874023</v>
      </c>
      <c r="I19">
        <v>48.9021453857422</v>
      </c>
    </row>
    <row r="20" spans="1:9">
      <c r="A20">
        <v>3</v>
      </c>
      <c r="B20" t="s">
        <v>63</v>
      </c>
      <c r="C20" t="s">
        <v>64</v>
      </c>
      <c r="D20" t="s">
        <v>65</v>
      </c>
      <c r="E20">
        <v>0.704571068286896</v>
      </c>
      <c r="F20">
        <v>3.42278512652727</v>
      </c>
      <c r="G20">
        <v>3532</v>
      </c>
      <c r="H20">
        <v>0.168418884277344</v>
      </c>
      <c r="I20">
        <v>76.0535049438477</v>
      </c>
    </row>
    <row r="21" spans="1:9">
      <c r="A21">
        <v>4</v>
      </c>
      <c r="B21" t="s">
        <v>66</v>
      </c>
      <c r="C21" t="s">
        <v>67</v>
      </c>
      <c r="D21" t="s">
        <v>68</v>
      </c>
      <c r="E21">
        <v>0.385432839393616</v>
      </c>
      <c r="F21">
        <v>9.43548976032133</v>
      </c>
      <c r="G21">
        <v>15567</v>
      </c>
      <c r="H21">
        <v>0.742292404174805</v>
      </c>
      <c r="I21">
        <v>48.7915534973145</v>
      </c>
    </row>
    <row r="22" spans="1:9">
      <c r="E22">
        <f>AVERAGE(E2:E21)</f>
        <v>0.599284838140011</v>
      </c>
      <c r="F22">
        <f>AVERAGE(F2:F21)</f>
        <v>5.41756035064065</v>
      </c>
      <c r="G22">
        <f>AVERAGE(G2:G21)</f>
        <v>12606.4</v>
      </c>
      <c r="I22">
        <f>MIN(I2:I21)</f>
        <v>44.139518737793</v>
      </c>
    </row>
    <row r="23" spans="1:9">
      <c r="E23">
        <f>_xlfn.STDEV.S(E2:E21)</f>
        <v>0.133368171466102</v>
      </c>
      <c r="F23">
        <f>_xlfn.STDEV.S(F2:F21)</f>
        <v>2.38140589035969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A1" sqref="A1"/>
    </sheetView>
  </sheetViews>
  <sheetFormatPr defaultColWidth="9" defaultRowHeight="14.4" outlineLevelRow="1" outlineLevelCol="6"/>
  <sheetData>
    <row r="1" spans="1:7">
      <c r="A1" s="1" t="s">
        <v>69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</row>
    <row r="2" spans="1:7">
      <c r="A2">
        <v>5</v>
      </c>
      <c r="B2">
        <v>0.715199208259582</v>
      </c>
      <c r="C2">
        <v>3.52130711662913</v>
      </c>
      <c r="D2">
        <v>14369.2</v>
      </c>
      <c r="E2">
        <v>0.685176849365234</v>
      </c>
      <c r="F2">
        <v>135.931492614746</v>
      </c>
      <c r="G2">
        <v>104.535892104692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Case Results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corrupt</cp:lastModifiedBy>
  <dcterms:created xsi:type="dcterms:W3CDTF">2026-08-20T09:16:00Z</dcterms:created>
  <dcterms:modified xsi:type="dcterms:W3CDTF">2026-09-07T03:27:43Z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C26FB7B578004A0998B43EBBC59BEBAF_12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